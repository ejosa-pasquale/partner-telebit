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squaleSenese/Downloads/ev_pricing_streamlit_package_v3/data/defaults/"/>
    </mc:Choice>
  </mc:AlternateContent>
  <xr:revisionPtr revIDLastSave="0" documentId="13_ncr:1_{2FD99E9B-FF99-8747-A04D-100307E468F5}" xr6:coauthVersionLast="47" xr6:coauthVersionMax="47" xr10:uidLastSave="{00000000-0000-0000-0000-000000000000}"/>
  <bookViews>
    <workbookView xWindow="6780" yWindow="1120" windowWidth="22020" windowHeight="15720" xr2:uid="{5DCA0B66-7252-47B2-9676-D8217BF6F10F}"/>
  </bookViews>
  <sheets>
    <sheet name="File prezzi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P18" i="1" s="1"/>
  <c r="L18" i="1"/>
  <c r="K18" i="1"/>
  <c r="I18" i="1" s="1"/>
  <c r="H18" i="1" s="1"/>
  <c r="F18" i="1"/>
  <c r="E18" i="1"/>
  <c r="D18" i="1" s="1"/>
  <c r="C18" i="1" s="1"/>
  <c r="M6" i="1"/>
  <c r="N6" i="1" s="1"/>
  <c r="O6" i="1" s="1"/>
  <c r="P6" i="1" s="1"/>
  <c r="Q6" i="1" s="1"/>
  <c r="L6" i="1"/>
  <c r="K6" i="1"/>
  <c r="H6" i="1"/>
  <c r="I6" i="1" s="1"/>
  <c r="F6" i="1"/>
  <c r="E6" i="1" s="1"/>
  <c r="D6" i="1" s="1"/>
  <c r="C6" i="1" s="1"/>
</calcChain>
</file>

<file path=xl/sharedStrings.xml><?xml version="1.0" encoding="utf-8"?>
<sst xmlns="http://schemas.openxmlformats.org/spreadsheetml/2006/main" count="60" uniqueCount="33">
  <si>
    <t>ATTIVITA'</t>
  </si>
  <si>
    <t>PREZZO IVA ESCL.</t>
  </si>
  <si>
    <t>Installazione Wallbox 7,4 kW monofase</t>
  </si>
  <si>
    <t>2 mt. dal contatore</t>
  </si>
  <si>
    <t>4 mt. dal contatore</t>
  </si>
  <si>
    <t>6 mt. dal contatore</t>
  </si>
  <si>
    <t>8 mt. dal contatore</t>
  </si>
  <si>
    <t>10 mt. dal contatore</t>
  </si>
  <si>
    <t>12 mt. dal contatore</t>
  </si>
  <si>
    <t>14 mt. dal contatore</t>
  </si>
  <si>
    <t>15 mt. dal contatore</t>
  </si>
  <si>
    <t>16 mt. dal contatore</t>
  </si>
  <si>
    <t>18 mt. dal contatore</t>
  </si>
  <si>
    <t>20 mt. dal contatore</t>
  </si>
  <si>
    <t>22 mt. dal contatore</t>
  </si>
  <si>
    <t>24 mt. dal contatore</t>
  </si>
  <si>
    <t>26 mt. dal contatore</t>
  </si>
  <si>
    <t>28 mt. dal contatore</t>
  </si>
  <si>
    <t>30 mt. dal contatore</t>
  </si>
  <si>
    <t>Item 1.b : Sopralluogo fisico, inlcuso assorbimento KO</t>
  </si>
  <si>
    <t>Item 2: Installazione e posa in opera, incl. cavi e tubazioni</t>
  </si>
  <si>
    <t>Item 3: smart meter (escluso fornitura Smart Meter e TA)</t>
  </si>
  <si>
    <t>Item 4: quadri incl. Protezioni (materiali e installazione)</t>
  </si>
  <si>
    <t>Item 5: dichiarazione di conformità e training</t>
  </si>
  <si>
    <t>Item 6: progetto professionista per installazione &gt; 6 kW</t>
  </si>
  <si>
    <t>* nel caso in cui il sopralluogo virtuale non sia in grado di definire la soluzione impiantistica e si renda necessario un sopralluogo fisico, saranno  contabilizzate entrambe le voci 1.a e 1.b</t>
  </si>
  <si>
    <t>Installazione Wallbox 22 kW trifase</t>
  </si>
  <si>
    <t>Stoccaggio e trasporto</t>
  </si>
  <si>
    <t>Item 1.a: Sopralluogo virtuale, incluso assorbimento KO *</t>
  </si>
  <si>
    <t>Item 1.b : Sopralluogo fisico, incluso assorbimento KO</t>
  </si>
  <si>
    <t>Manutenzione preventiva/programmata</t>
  </si>
  <si>
    <t>Manutenzione correttiva</t>
  </si>
  <si>
    <t>incluso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</si>
</sst>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right" vertical="center" wrapText="1"/>
    </xf>
    <xf numFmtId="0" fontId="5" fillId="3" borderId="0" xfId="0" applyFont="1" applyFill="1"/>
    <xf numFmtId="0" fontId="5" fillId="0" borderId="0" xfId="0" applyFont="1"/>
    <xf numFmtId="0" fontId="3" fillId="0" borderId="1" xfId="0" applyFont="1" applyBorder="1" applyAlignment="1">
      <alignment horizontal="center" wrapText="1"/>
    </xf>
    <xf numFmtId="164" fontId="5" fillId="0" borderId="1" xfId="1" applyNumberFormat="1" applyFont="1" applyBorder="1" applyAlignment="1">
      <alignment horizontal="center" vertical="center"/>
    </xf>
    <xf numFmtId="164" fontId="5" fillId="3" borderId="0" xfId="0" applyNumberFormat="1" applyFont="1" applyFill="1"/>
    <xf numFmtId="0" fontId="2" fillId="3" borderId="0" xfId="0" applyFont="1" applyFill="1" applyAlignment="1">
      <alignment horizontal="right" vertical="center"/>
    </xf>
    <xf numFmtId="164" fontId="5" fillId="3" borderId="0" xfId="1" applyNumberFormat="1" applyFont="1" applyFill="1" applyBorder="1" applyAlignment="1">
      <alignment horizontal="center" vertical="center"/>
    </xf>
    <xf numFmtId="44" fontId="5" fillId="3" borderId="0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3" xfId="0" applyFont="1" applyFill="1" applyBorder="1" applyAlignment="1">
      <alignment horizontal="right" vertical="center"/>
    </xf>
    <xf numFmtId="0" fontId="5" fillId="2" borderId="2" xfId="0" applyFont="1" applyFill="1" applyBorder="1" applyAlignment="1">
      <alignment horizontal="center"/>
    </xf>
    <xf numFmtId="0" fontId="2" fillId="3" borderId="0" xfId="0" applyFont="1" applyFill="1" applyAlignment="1">
      <alignment horizontal="right" vertical="center" wrapText="1"/>
    </xf>
    <xf numFmtId="164" fontId="2" fillId="3" borderId="0" xfId="0" applyNumberFormat="1" applyFont="1" applyFill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77B93-D701-4B3B-BB8C-17A32DA8D9E0}">
  <dimension ref="A1:AS38"/>
  <sheetViews>
    <sheetView tabSelected="1" topLeftCell="B1" zoomScale="93" zoomScaleNormal="80" workbookViewId="0">
      <selection activeCell="B15" sqref="B15:R22"/>
    </sheetView>
  </sheetViews>
  <sheetFormatPr baseColWidth="10" defaultColWidth="8.6640625" defaultRowHeight="15" x14ac:dyDescent="0.2"/>
  <cols>
    <col min="1" max="1" width="2.5" style="5" customWidth="1"/>
    <col min="2" max="2" width="58.5" style="6" bestFit="1" customWidth="1"/>
    <col min="3" max="18" width="10.33203125" style="6" customWidth="1"/>
    <col min="19" max="19" width="2.5" style="5" customWidth="1"/>
    <col min="20" max="45" width="8.6640625" style="5"/>
    <col min="46" max="16384" width="8.6640625" style="6"/>
  </cols>
  <sheetData>
    <row r="1" spans="2:24" s="5" customFormat="1" x14ac:dyDescent="0.2">
      <c r="B1" s="16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2:24" ht="28.5" customHeight="1" x14ac:dyDescent="0.2">
      <c r="B2" s="1" t="s">
        <v>0</v>
      </c>
      <c r="C2" s="18" t="s">
        <v>1</v>
      </c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2:24" ht="32" x14ac:dyDescent="0.2">
      <c r="B3" s="3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  <c r="Q3" s="7" t="s">
        <v>17</v>
      </c>
      <c r="R3" s="7" t="s">
        <v>18</v>
      </c>
    </row>
    <row r="4" spans="2:24" x14ac:dyDescent="0.2">
      <c r="B4" s="2" t="s">
        <v>28</v>
      </c>
      <c r="C4" s="8">
        <v>40</v>
      </c>
      <c r="D4" s="8">
        <v>40</v>
      </c>
      <c r="E4" s="8">
        <v>40</v>
      </c>
      <c r="F4" s="8">
        <v>40</v>
      </c>
      <c r="G4" s="8">
        <v>40</v>
      </c>
      <c r="H4" s="8">
        <v>40</v>
      </c>
      <c r="I4" s="8">
        <v>40</v>
      </c>
      <c r="J4" s="8">
        <v>40</v>
      </c>
      <c r="K4" s="8">
        <v>40</v>
      </c>
      <c r="L4" s="8">
        <v>40</v>
      </c>
      <c r="M4" s="8">
        <v>40</v>
      </c>
      <c r="N4" s="8">
        <v>40</v>
      </c>
      <c r="O4" s="8">
        <v>40</v>
      </c>
      <c r="P4" s="8">
        <v>40</v>
      </c>
      <c r="Q4" s="8">
        <v>40</v>
      </c>
      <c r="R4" s="8">
        <v>40</v>
      </c>
    </row>
    <row r="5" spans="2:24" x14ac:dyDescent="0.2">
      <c r="B5" s="2" t="s">
        <v>29</v>
      </c>
      <c r="C5" s="8">
        <v>80</v>
      </c>
      <c r="D5" s="8">
        <v>80</v>
      </c>
      <c r="E5" s="8">
        <v>80</v>
      </c>
      <c r="F5" s="8">
        <v>80</v>
      </c>
      <c r="G5" s="8">
        <v>80</v>
      </c>
      <c r="H5" s="8">
        <v>80</v>
      </c>
      <c r="I5" s="8">
        <v>80</v>
      </c>
      <c r="J5" s="8">
        <v>80</v>
      </c>
      <c r="K5" s="8">
        <v>80</v>
      </c>
      <c r="L5" s="8">
        <v>80</v>
      </c>
      <c r="M5" s="8">
        <v>80</v>
      </c>
      <c r="N5" s="8">
        <v>80</v>
      </c>
      <c r="O5" s="8">
        <v>80</v>
      </c>
      <c r="P5" s="8">
        <v>80</v>
      </c>
      <c r="Q5" s="8">
        <v>80</v>
      </c>
      <c r="R5" s="8">
        <v>80</v>
      </c>
      <c r="V5" s="9"/>
      <c r="X5" s="9"/>
    </row>
    <row r="6" spans="2:24" x14ac:dyDescent="0.2">
      <c r="B6" s="2" t="s">
        <v>20</v>
      </c>
      <c r="C6" s="8">
        <f>D6-12.8</f>
        <v>328.79999999999995</v>
      </c>
      <c r="D6" s="8">
        <f>E6-12.8</f>
        <v>341.59999999999997</v>
      </c>
      <c r="E6" s="8">
        <f>F6-12.8</f>
        <v>354.4</v>
      </c>
      <c r="F6" s="8">
        <f>G6-12.8</f>
        <v>367.2</v>
      </c>
      <c r="G6" s="8">
        <v>380</v>
      </c>
      <c r="H6" s="8">
        <f>380+13</f>
        <v>393</v>
      </c>
      <c r="I6" s="8">
        <f>+H6+13</f>
        <v>406</v>
      </c>
      <c r="J6" s="8">
        <v>444</v>
      </c>
      <c r="K6" s="8">
        <f>444+13/2</f>
        <v>450.5</v>
      </c>
      <c r="L6" s="8">
        <f>+K6+13</f>
        <v>463.5</v>
      </c>
      <c r="M6" s="8">
        <f>508</f>
        <v>508</v>
      </c>
      <c r="N6" s="8">
        <f>+M6+48</f>
        <v>556</v>
      </c>
      <c r="O6" s="8">
        <f>+N6+48</f>
        <v>604</v>
      </c>
      <c r="P6" s="8">
        <f>+O6+48</f>
        <v>652</v>
      </c>
      <c r="Q6" s="8">
        <f>+P6+50</f>
        <v>702</v>
      </c>
      <c r="R6" s="8">
        <v>750</v>
      </c>
      <c r="T6" s="9"/>
      <c r="V6" s="9"/>
      <c r="X6" s="9"/>
    </row>
    <row r="7" spans="2:24" x14ac:dyDescent="0.2">
      <c r="B7" s="2" t="s">
        <v>21</v>
      </c>
      <c r="C7" s="8">
        <v>85</v>
      </c>
      <c r="D7" s="8">
        <v>85</v>
      </c>
      <c r="E7" s="8">
        <v>85</v>
      </c>
      <c r="F7" s="8">
        <v>85</v>
      </c>
      <c r="G7" s="8">
        <v>85</v>
      </c>
      <c r="H7" s="8">
        <v>101</v>
      </c>
      <c r="I7" s="8">
        <v>101</v>
      </c>
      <c r="J7" s="8">
        <v>101</v>
      </c>
      <c r="K7" s="8">
        <v>117</v>
      </c>
      <c r="L7" s="8">
        <v>117</v>
      </c>
      <c r="M7" s="8">
        <v>117</v>
      </c>
      <c r="N7" s="8">
        <v>122</v>
      </c>
      <c r="O7" s="8">
        <v>122</v>
      </c>
      <c r="P7" s="8">
        <v>122</v>
      </c>
      <c r="Q7" s="8">
        <v>122</v>
      </c>
      <c r="R7" s="8">
        <v>122</v>
      </c>
    </row>
    <row r="8" spans="2:24" x14ac:dyDescent="0.2">
      <c r="B8" s="2" t="s">
        <v>22</v>
      </c>
      <c r="C8" s="8">
        <v>179.99534775529193</v>
      </c>
      <c r="D8" s="8">
        <v>179.99534775529193</v>
      </c>
      <c r="E8" s="8">
        <v>179.99534775529193</v>
      </c>
      <c r="F8" s="8">
        <v>179.99534775529193</v>
      </c>
      <c r="G8" s="8">
        <v>179.99534775529193</v>
      </c>
      <c r="H8" s="8">
        <v>179.99534775529193</v>
      </c>
      <c r="I8" s="8">
        <v>179.99534775529193</v>
      </c>
      <c r="J8" s="8">
        <v>179.99534775529193</v>
      </c>
      <c r="K8" s="8">
        <v>179.99534775529193</v>
      </c>
      <c r="L8" s="8">
        <v>179.99534775529193</v>
      </c>
      <c r="M8" s="8">
        <v>179.99534775529193</v>
      </c>
      <c r="N8" s="8">
        <v>179.99534775529193</v>
      </c>
      <c r="O8" s="8">
        <v>179.99534775529193</v>
      </c>
      <c r="P8" s="8">
        <v>179.99534775529193</v>
      </c>
      <c r="Q8" s="8">
        <v>179.99534775529193</v>
      </c>
      <c r="R8" s="8">
        <v>179.99534775529193</v>
      </c>
      <c r="T8" s="9"/>
      <c r="V8" s="9"/>
    </row>
    <row r="9" spans="2:24" x14ac:dyDescent="0.2">
      <c r="B9" s="2" t="s">
        <v>23</v>
      </c>
      <c r="C9" s="8">
        <v>85</v>
      </c>
      <c r="D9" s="8">
        <v>85</v>
      </c>
      <c r="E9" s="8">
        <v>85</v>
      </c>
      <c r="F9" s="8">
        <v>85</v>
      </c>
      <c r="G9" s="8">
        <v>85</v>
      </c>
      <c r="H9" s="8">
        <v>85</v>
      </c>
      <c r="I9" s="8">
        <v>85</v>
      </c>
      <c r="J9" s="8">
        <v>85</v>
      </c>
      <c r="K9" s="8">
        <v>85</v>
      </c>
      <c r="L9" s="8">
        <v>85</v>
      </c>
      <c r="M9" s="8">
        <v>85</v>
      </c>
      <c r="N9" s="8">
        <v>85</v>
      </c>
      <c r="O9" s="8">
        <v>85</v>
      </c>
      <c r="P9" s="8">
        <v>85</v>
      </c>
      <c r="Q9" s="8">
        <v>85</v>
      </c>
      <c r="R9" s="8">
        <v>85</v>
      </c>
      <c r="T9" s="9"/>
      <c r="V9" s="9"/>
    </row>
    <row r="10" spans="2:24" x14ac:dyDescent="0.2">
      <c r="B10" s="2" t="s">
        <v>24</v>
      </c>
      <c r="C10" s="8">
        <v>180</v>
      </c>
      <c r="D10" s="8">
        <v>180</v>
      </c>
      <c r="E10" s="8">
        <v>180</v>
      </c>
      <c r="F10" s="8">
        <v>180</v>
      </c>
      <c r="G10" s="8">
        <v>180</v>
      </c>
      <c r="H10" s="8">
        <v>180</v>
      </c>
      <c r="I10" s="8">
        <v>180</v>
      </c>
      <c r="J10" s="8">
        <v>180</v>
      </c>
      <c r="K10" s="8">
        <v>180</v>
      </c>
      <c r="L10" s="8">
        <v>180</v>
      </c>
      <c r="M10" s="8">
        <v>180</v>
      </c>
      <c r="N10" s="8">
        <v>180</v>
      </c>
      <c r="O10" s="8">
        <v>180</v>
      </c>
      <c r="P10" s="8">
        <v>180</v>
      </c>
      <c r="Q10" s="8">
        <v>180</v>
      </c>
      <c r="R10" s="8">
        <v>180</v>
      </c>
      <c r="T10" s="9"/>
      <c r="V10" s="9"/>
    </row>
    <row r="11" spans="2:24" s="5" customFormat="1" x14ac:dyDescent="0.2">
      <c r="B11" s="10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0"/>
      <c r="T11" s="9"/>
      <c r="V11" s="9"/>
    </row>
    <row r="12" spans="2:24" s="5" customFormat="1" ht="45" x14ac:dyDescent="0.2">
      <c r="B12" s="4" t="s">
        <v>25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 spans="2:24" s="5" customFormat="1" x14ac:dyDescent="0.2"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</row>
    <row r="14" spans="2:24" ht="29.25" customHeight="1" x14ac:dyDescent="0.2">
      <c r="B14" s="1" t="s">
        <v>0</v>
      </c>
      <c r="C14" s="18" t="s">
        <v>1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V14" s="9"/>
    </row>
    <row r="15" spans="2:24" ht="32" x14ac:dyDescent="0.2">
      <c r="B15" s="3" t="s">
        <v>26</v>
      </c>
      <c r="C15" s="7" t="s">
        <v>3</v>
      </c>
      <c r="D15" s="7" t="s">
        <v>4</v>
      </c>
      <c r="E15" s="7" t="s">
        <v>5</v>
      </c>
      <c r="F15" s="7" t="s">
        <v>6</v>
      </c>
      <c r="G15" s="7" t="s">
        <v>7</v>
      </c>
      <c r="H15" s="7" t="s">
        <v>8</v>
      </c>
      <c r="I15" s="7" t="s">
        <v>9</v>
      </c>
      <c r="J15" s="7" t="s">
        <v>10</v>
      </c>
      <c r="K15" s="7" t="s">
        <v>11</v>
      </c>
      <c r="L15" s="7" t="s">
        <v>12</v>
      </c>
      <c r="M15" s="7" t="s">
        <v>13</v>
      </c>
      <c r="N15" s="7" t="s">
        <v>14</v>
      </c>
      <c r="O15" s="7" t="s">
        <v>15</v>
      </c>
      <c r="P15" s="7" t="s">
        <v>16</v>
      </c>
      <c r="Q15" s="7" t="s">
        <v>17</v>
      </c>
      <c r="R15" s="7" t="s">
        <v>18</v>
      </c>
    </row>
    <row r="16" spans="2:24" x14ac:dyDescent="0.2">
      <c r="B16" s="2" t="s">
        <v>28</v>
      </c>
      <c r="C16" s="8">
        <v>40</v>
      </c>
      <c r="D16" s="8">
        <v>40</v>
      </c>
      <c r="E16" s="8">
        <v>40</v>
      </c>
      <c r="F16" s="8">
        <v>40</v>
      </c>
      <c r="G16" s="8">
        <v>40</v>
      </c>
      <c r="H16" s="8">
        <v>40</v>
      </c>
      <c r="I16" s="8">
        <v>40</v>
      </c>
      <c r="J16" s="8">
        <v>40</v>
      </c>
      <c r="K16" s="8">
        <v>40</v>
      </c>
      <c r="L16" s="8">
        <v>40</v>
      </c>
      <c r="M16" s="8">
        <v>40</v>
      </c>
      <c r="N16" s="8">
        <v>40</v>
      </c>
      <c r="O16" s="8">
        <v>40</v>
      </c>
      <c r="P16" s="8">
        <v>40</v>
      </c>
      <c r="Q16" s="8">
        <v>40</v>
      </c>
      <c r="R16" s="8">
        <v>40</v>
      </c>
    </row>
    <row r="17" spans="2:18" x14ac:dyDescent="0.2">
      <c r="B17" s="2" t="s">
        <v>19</v>
      </c>
      <c r="C17" s="8">
        <v>80</v>
      </c>
      <c r="D17" s="8">
        <v>80</v>
      </c>
      <c r="E17" s="8">
        <v>80</v>
      </c>
      <c r="F17" s="8">
        <v>80</v>
      </c>
      <c r="G17" s="8">
        <v>80</v>
      </c>
      <c r="H17" s="8">
        <v>80</v>
      </c>
      <c r="I17" s="8">
        <v>80</v>
      </c>
      <c r="J17" s="8">
        <v>80</v>
      </c>
      <c r="K17" s="8">
        <v>80</v>
      </c>
      <c r="L17" s="8">
        <v>80</v>
      </c>
      <c r="M17" s="8">
        <v>80</v>
      </c>
      <c r="N17" s="8">
        <v>80</v>
      </c>
      <c r="O17" s="8">
        <v>80</v>
      </c>
      <c r="P17" s="8">
        <v>80</v>
      </c>
      <c r="Q17" s="8">
        <v>80</v>
      </c>
      <c r="R17" s="8">
        <v>80</v>
      </c>
    </row>
    <row r="18" spans="2:18" x14ac:dyDescent="0.2">
      <c r="B18" s="2" t="s">
        <v>20</v>
      </c>
      <c r="C18" s="8">
        <f>D18-2*7.2</f>
        <v>377.40000000000009</v>
      </c>
      <c r="D18" s="8">
        <f>E18-2*7.2</f>
        <v>391.80000000000007</v>
      </c>
      <c r="E18" s="8">
        <f>F18-2*7.2</f>
        <v>406.20000000000005</v>
      </c>
      <c r="F18" s="8">
        <f>G18-2*7.2</f>
        <v>420.6</v>
      </c>
      <c r="G18" s="8">
        <v>435</v>
      </c>
      <c r="H18" s="8">
        <f>I18-2*8.3</f>
        <v>458.20000000000005</v>
      </c>
      <c r="I18" s="8">
        <f>K18-2*7.2</f>
        <v>474.80000000000007</v>
      </c>
      <c r="J18" s="8">
        <v>482</v>
      </c>
      <c r="K18" s="8">
        <f>L18-2*7.2</f>
        <v>489.20000000000005</v>
      </c>
      <c r="L18" s="8">
        <f>M18-2*7.2</f>
        <v>503.6</v>
      </c>
      <c r="M18" s="8">
        <v>518</v>
      </c>
      <c r="N18" s="8">
        <v>585</v>
      </c>
      <c r="O18" s="8">
        <f>+N18+66</f>
        <v>651</v>
      </c>
      <c r="P18" s="8">
        <f>+O18+66</f>
        <v>717</v>
      </c>
      <c r="Q18" s="8">
        <v>783</v>
      </c>
      <c r="R18" s="8">
        <v>850</v>
      </c>
    </row>
    <row r="19" spans="2:18" x14ac:dyDescent="0.2">
      <c r="B19" s="2" t="s">
        <v>21</v>
      </c>
      <c r="C19" s="8">
        <v>85</v>
      </c>
      <c r="D19" s="8">
        <v>85</v>
      </c>
      <c r="E19" s="8">
        <v>85</v>
      </c>
      <c r="F19" s="8">
        <v>85</v>
      </c>
      <c r="G19" s="8">
        <v>85</v>
      </c>
      <c r="H19" s="8">
        <v>101</v>
      </c>
      <c r="I19" s="8">
        <v>101</v>
      </c>
      <c r="J19" s="8">
        <v>101</v>
      </c>
      <c r="K19" s="8">
        <v>117</v>
      </c>
      <c r="L19" s="8">
        <v>117</v>
      </c>
      <c r="M19" s="8">
        <v>117</v>
      </c>
      <c r="N19" s="8">
        <v>122</v>
      </c>
      <c r="O19" s="8">
        <v>122</v>
      </c>
      <c r="P19" s="8">
        <v>122</v>
      </c>
      <c r="Q19" s="8">
        <v>122</v>
      </c>
      <c r="R19" s="8">
        <v>122</v>
      </c>
    </row>
    <row r="20" spans="2:18" x14ac:dyDescent="0.2">
      <c r="B20" s="2" t="s">
        <v>22</v>
      </c>
      <c r="C20" s="8">
        <v>330</v>
      </c>
      <c r="D20" s="8">
        <v>330</v>
      </c>
      <c r="E20" s="8">
        <v>330</v>
      </c>
      <c r="F20" s="8">
        <v>330</v>
      </c>
      <c r="G20" s="8">
        <v>330</v>
      </c>
      <c r="H20" s="8">
        <v>330</v>
      </c>
      <c r="I20" s="8">
        <v>330</v>
      </c>
      <c r="J20" s="8">
        <v>330</v>
      </c>
      <c r="K20" s="8">
        <v>330</v>
      </c>
      <c r="L20" s="8">
        <v>330</v>
      </c>
      <c r="M20" s="8">
        <v>330</v>
      </c>
      <c r="N20" s="8">
        <v>330</v>
      </c>
      <c r="O20" s="8">
        <v>330</v>
      </c>
      <c r="P20" s="8">
        <v>330</v>
      </c>
      <c r="Q20" s="8">
        <v>330</v>
      </c>
      <c r="R20" s="8">
        <v>330</v>
      </c>
    </row>
    <row r="21" spans="2:18" x14ac:dyDescent="0.2">
      <c r="B21" s="2" t="s">
        <v>23</v>
      </c>
      <c r="C21" s="8">
        <v>85</v>
      </c>
      <c r="D21" s="8">
        <v>85</v>
      </c>
      <c r="E21" s="8">
        <v>85</v>
      </c>
      <c r="F21" s="8">
        <v>85</v>
      </c>
      <c r="G21" s="8">
        <v>85</v>
      </c>
      <c r="H21" s="8">
        <v>85</v>
      </c>
      <c r="I21" s="8">
        <v>85</v>
      </c>
      <c r="J21" s="8">
        <v>85</v>
      </c>
      <c r="K21" s="8">
        <v>85</v>
      </c>
      <c r="L21" s="8">
        <v>85</v>
      </c>
      <c r="M21" s="8">
        <v>85</v>
      </c>
      <c r="N21" s="8">
        <v>85</v>
      </c>
      <c r="O21" s="8">
        <v>85</v>
      </c>
      <c r="P21" s="8">
        <v>85</v>
      </c>
      <c r="Q21" s="8">
        <v>85</v>
      </c>
      <c r="R21" s="8">
        <v>85</v>
      </c>
    </row>
    <row r="22" spans="2:18" x14ac:dyDescent="0.2">
      <c r="B22" s="2" t="s">
        <v>24</v>
      </c>
      <c r="C22" s="8">
        <v>200</v>
      </c>
      <c r="D22" s="8">
        <v>200</v>
      </c>
      <c r="E22" s="8">
        <v>200</v>
      </c>
      <c r="F22" s="8">
        <v>200</v>
      </c>
      <c r="G22" s="8">
        <v>200</v>
      </c>
      <c r="H22" s="8">
        <v>200</v>
      </c>
      <c r="I22" s="8">
        <v>200</v>
      </c>
      <c r="J22" s="8">
        <v>200</v>
      </c>
      <c r="K22" s="8">
        <v>200</v>
      </c>
      <c r="L22" s="8">
        <v>200</v>
      </c>
      <c r="M22" s="8">
        <v>200</v>
      </c>
      <c r="N22" s="8">
        <v>200</v>
      </c>
      <c r="O22" s="8">
        <v>200</v>
      </c>
      <c r="P22" s="8">
        <v>200</v>
      </c>
      <c r="Q22" s="8">
        <v>200</v>
      </c>
      <c r="R22" s="8">
        <v>200</v>
      </c>
    </row>
    <row r="23" spans="2:18" s="5" customFormat="1" x14ac:dyDescent="0.2">
      <c r="B23" s="10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spans="2:18" s="5" customFormat="1" ht="45" x14ac:dyDescent="0.2">
      <c r="B24" s="4" t="s">
        <v>25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</row>
    <row r="25" spans="2:18" s="5" customFormat="1" x14ac:dyDescent="0.2">
      <c r="B25" s="10"/>
      <c r="C25" s="9"/>
      <c r="D25" s="9"/>
      <c r="E25" s="9"/>
      <c r="F25" s="9"/>
      <c r="G25" s="9"/>
      <c r="J25" s="9"/>
      <c r="K25" s="9"/>
      <c r="L25" s="9"/>
      <c r="M25" s="9"/>
      <c r="N25" s="9"/>
      <c r="O25" s="9"/>
      <c r="P25" s="9"/>
      <c r="Q25" s="9"/>
      <c r="R25" s="9"/>
    </row>
    <row r="26" spans="2:18" ht="32" x14ac:dyDescent="0.2">
      <c r="B26" s="19" t="s">
        <v>0</v>
      </c>
      <c r="C26" s="19"/>
      <c r="D26" s="7" t="s">
        <v>1</v>
      </c>
      <c r="E26" s="5"/>
      <c r="F26" s="9"/>
      <c r="G26" s="9"/>
      <c r="H26" s="9"/>
      <c r="J26" s="9"/>
      <c r="K26" s="9"/>
      <c r="L26" s="9"/>
      <c r="M26" s="9"/>
      <c r="N26" s="9"/>
      <c r="O26" s="9"/>
      <c r="P26" s="9"/>
      <c r="Q26" s="9"/>
      <c r="R26" s="9"/>
    </row>
    <row r="27" spans="2:18" x14ac:dyDescent="0.2">
      <c r="B27" s="14" t="s">
        <v>27</v>
      </c>
      <c r="C27" s="15"/>
      <c r="D27" s="13" t="s">
        <v>32</v>
      </c>
      <c r="E27" s="5"/>
      <c r="F27" s="5"/>
      <c r="G27" s="11"/>
      <c r="H27" s="9"/>
      <c r="I27" s="9"/>
      <c r="J27" s="9"/>
      <c r="K27" s="12"/>
      <c r="L27" s="9"/>
      <c r="M27" s="9"/>
      <c r="N27" s="9"/>
      <c r="O27" s="9"/>
      <c r="P27" s="9"/>
      <c r="Q27" s="9"/>
      <c r="R27" s="9"/>
    </row>
    <row r="28" spans="2:18" x14ac:dyDescent="0.2">
      <c r="B28" s="14" t="s">
        <v>30</v>
      </c>
      <c r="C28" s="15"/>
      <c r="D28" s="13">
        <v>120</v>
      </c>
      <c r="E28" s="5"/>
      <c r="F28" s="5"/>
      <c r="G28" s="11"/>
      <c r="H28" s="9"/>
      <c r="I28" s="9"/>
      <c r="J28" s="9"/>
      <c r="K28" s="12"/>
      <c r="L28" s="9"/>
      <c r="M28" s="9"/>
      <c r="N28" s="9"/>
      <c r="O28" s="9"/>
      <c r="P28" s="9"/>
      <c r="Q28" s="9"/>
      <c r="R28" s="9"/>
    </row>
    <row r="29" spans="2:18" x14ac:dyDescent="0.2">
      <c r="B29" s="14" t="s">
        <v>31</v>
      </c>
      <c r="C29" s="15"/>
      <c r="D29" s="13">
        <v>180</v>
      </c>
      <c r="E29" s="5"/>
      <c r="F29" s="5"/>
      <c r="G29" s="11"/>
      <c r="H29" s="9"/>
      <c r="I29" s="9"/>
      <c r="J29" s="9"/>
      <c r="K29" s="12"/>
      <c r="L29" s="9"/>
      <c r="M29" s="9"/>
      <c r="N29" s="9"/>
      <c r="O29" s="9"/>
      <c r="P29" s="9"/>
      <c r="Q29" s="9"/>
      <c r="R29" s="9"/>
    </row>
    <row r="30" spans="2:18" x14ac:dyDescent="0.2">
      <c r="B30" s="4"/>
      <c r="C30" s="5"/>
      <c r="D30" s="5"/>
      <c r="E30" s="5"/>
      <c r="F30" s="5"/>
      <c r="G30" s="5"/>
      <c r="H30" s="9"/>
      <c r="I30" s="9"/>
      <c r="J30" s="5"/>
      <c r="K30" s="5"/>
      <c r="L30" s="5"/>
      <c r="M30" s="5"/>
      <c r="N30" s="5"/>
      <c r="O30" s="5"/>
      <c r="P30" s="5"/>
      <c r="Q30" s="5"/>
      <c r="R30" s="5"/>
    </row>
    <row r="31" spans="2:18" x14ac:dyDescent="0.2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2:18" x14ac:dyDescent="0.2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2:18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2:18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2:18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2:18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2:18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2:18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</sheetData>
  <mergeCells count="3">
    <mergeCell ref="C2:R2"/>
    <mergeCell ref="C14:R14"/>
    <mergeCell ref="B26:C26"/>
  </mergeCells>
  <pageMargins left="0.7" right="0.7" top="0.75" bottom="0.75" header="0.3" footer="0.3"/>
  <headerFooter>
    <oddFooter>&amp;R_x000D_&amp;1#&amp;"Arial"&amp;10&amp;K000000 Confidential C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8836B29ED3F344800F70505A7A17D0" ma:contentTypeVersion="14" ma:contentTypeDescription="Creare un nuovo documento." ma:contentTypeScope="" ma:versionID="4be0706bff25029382159b25a202952c">
  <xsd:schema xmlns:xsd="http://www.w3.org/2001/XMLSchema" xmlns:xs="http://www.w3.org/2001/XMLSchema" xmlns:p="http://schemas.microsoft.com/office/2006/metadata/properties" xmlns:ns2="66893e81-d936-4dce-b920-1866070223b8" xmlns:ns3="7495421c-1cef-4175-9acb-f49c957ae79c" targetNamespace="http://schemas.microsoft.com/office/2006/metadata/properties" ma:root="true" ma:fieldsID="6fe84aee096e3b90a89658e28e51b508" ns2:_="" ns3:_="">
    <xsd:import namespace="66893e81-d936-4dce-b920-1866070223b8"/>
    <xsd:import namespace="7495421c-1cef-4175-9acb-f49c957ae7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893e81-d936-4dce-b920-1866070223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Tag immagine" ma:readOnly="false" ma:fieldId="{5cf76f15-5ced-4ddc-b409-7134ff3c332f}" ma:taxonomyMulti="true" ma:sspId="2bbfa71a-d75e-4d15-90e8-ced09d00e4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95421c-1cef-4175-9acb-f49c957ae79c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6f6b41ca-67f6-4677-ba24-767baabe416a}" ma:internalName="TaxCatchAll" ma:showField="CatchAllData" ma:web="7495421c-1cef-4175-9acb-f49c957ae7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95421c-1cef-4175-9acb-f49c957ae79c" xsi:nil="true"/>
    <lcf76f155ced4ddcb4097134ff3c332f xmlns="66893e81-d936-4dce-b920-1866070223b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4C3938-C86C-462F-A06F-194BF465E6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893e81-d936-4dce-b920-1866070223b8"/>
    <ds:schemaRef ds:uri="7495421c-1cef-4175-9acb-f49c957ae7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4F94FE-B298-48DB-B4B4-A66036DF0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87EA6B-717A-4FDB-B9F8-A730B2045D4A}">
  <ds:schemaRefs>
    <ds:schemaRef ds:uri="http://schemas.microsoft.com/office/2006/metadata/properties"/>
    <ds:schemaRef ds:uri="http://schemas.microsoft.com/office/infopath/2007/PartnerControls"/>
    <ds:schemaRef ds:uri="7495421c-1cef-4175-9acb-f49c957ae79c"/>
    <ds:schemaRef ds:uri="66893e81-d936-4dce-b920-1866070223b8"/>
  </ds:schemaRefs>
</ds:datastoreItem>
</file>

<file path=docMetadata/LabelInfo.xml><?xml version="1.0" encoding="utf-8"?>
<clbl:labelList xmlns:clbl="http://schemas.microsoft.com/office/2020/mipLabelMetadata">
  <clbl:label id="{fd1c0902-ed92-4fed-896d-2e7725de02d4}" enabled="1" method="Standard" siteId="{d6b0bbee-7cd9-4d60-bce6-4a67b543e2a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File prezzi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Riccardo Gustinelli</dc:creator>
  <cp:keywords/>
  <dc:description/>
  <cp:lastModifiedBy>Pasquale Senese</cp:lastModifiedBy>
  <cp:revision/>
  <cp:lastPrinted>2024-05-15T16:25:53Z</cp:lastPrinted>
  <dcterms:created xsi:type="dcterms:W3CDTF">2023-12-01T14:30:04Z</dcterms:created>
  <dcterms:modified xsi:type="dcterms:W3CDTF">2026-02-25T13:00:34Z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0x010100D48836B29ED3F344800F70505A7A17D0</vt:lpwstr>
  </property>
  <property fmtid="{D5CDD505-2E9C-101B-9397-08002B2CF9AE}" pid="3" name="MediaServiceImageTags">
    <vt:lpwstr/>
  </property>
  <property fmtid="{D5CDD505-2E9C-101B-9397-08002B2CF9AE}" pid="4" name="_AdHocReviewCycleID">
    <vt:i4>2033090460</vt:i4>
  </property>
  <property fmtid="{D5CDD505-2E9C-101B-9397-08002B2CF9AE}" pid="5" name="_NewReviewCycle">
    <vt:lpwstr/>
  </property>
  <property fmtid="{D5CDD505-2E9C-101B-9397-08002B2CF9AE}" pid="6" name="_EmailSubject">
    <vt:lpwstr>Incontro Mobilize Power Solutions - EV Field Service</vt:lpwstr>
  </property>
  <property fmtid="{D5CDD505-2E9C-101B-9397-08002B2CF9AE}" pid="7" name="_AuthorEmail">
    <vt:lpwstr>riccardo.rizzo@renault.it</vt:lpwstr>
  </property>
  <property fmtid="{D5CDD505-2E9C-101B-9397-08002B2CF9AE}" pid="8" name="_AuthorEmailDisplayName">
    <vt:lpwstr>RIZZO Riccardo</vt:lpwstr>
  </property>
  <property fmtid="{D5CDD505-2E9C-101B-9397-08002B2CF9AE}" pid="9" name="_PreviousAdHocReviewCycleID">
    <vt:i4>1985272781</vt:i4>
  </property>
</Properties>
</file>